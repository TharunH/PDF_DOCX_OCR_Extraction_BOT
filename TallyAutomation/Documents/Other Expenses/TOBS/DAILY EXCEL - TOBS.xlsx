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My Drive\AI Program\Other Expenses\TOBS\"/>
    </mc:Choice>
  </mc:AlternateContent>
  <xr:revisionPtr revIDLastSave="0" documentId="8_{C8325A9E-2B75-4784-8C57-5285F2813E87}" xr6:coauthVersionLast="36" xr6:coauthVersionMax="36" xr10:uidLastSave="{00000000-0000-0000-0000-000000000000}"/>
  <bookViews>
    <workbookView xWindow="0" yWindow="0" windowWidth="28800" windowHeight="11925" tabRatio="500" xr2:uid="{00000000-000D-0000-FFFF-FFFF00000000}"/>
  </bookViews>
  <sheets>
    <sheet name="Ventur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" l="1"/>
  <c r="G42" i="3"/>
  <c r="G41" i="3"/>
  <c r="H38" i="3"/>
  <c r="G38" i="3"/>
  <c r="G39" i="3" s="1"/>
</calcChain>
</file>

<file path=xl/sharedStrings.xml><?xml version="1.0" encoding="utf-8"?>
<sst xmlns="http://schemas.openxmlformats.org/spreadsheetml/2006/main" count="205" uniqueCount="91">
  <si>
    <t>Company/Category</t>
  </si>
  <si>
    <t>Employee</t>
  </si>
  <si>
    <t>Client Employee</t>
  </si>
  <si>
    <t>SR</t>
  </si>
  <si>
    <t>Process</t>
  </si>
  <si>
    <t>Card No</t>
  </si>
  <si>
    <t>Amount</t>
  </si>
  <si>
    <t>L R Q A Certification And Assurance L.L.C</t>
  </si>
  <si>
    <t>Ajmal Hussain</t>
  </si>
  <si>
    <t>ABDELRAOUF SOLIMAN</t>
  </si>
  <si>
    <t>TSR253069</t>
  </si>
  <si>
    <t>CNIA PASS RENEWAL APPLICATION</t>
  </si>
  <si>
    <t>RANGASWAMY RAMALINGAM</t>
  </si>
  <si>
    <t>TSR253072</t>
  </si>
  <si>
    <t>Controls &amp; Electrics System Manufacturing LTD</t>
  </si>
  <si>
    <t>NATARAJAN</t>
  </si>
  <si>
    <t>TSR253073</t>
  </si>
  <si>
    <t>ARUN IYYAPPAN</t>
  </si>
  <si>
    <t>NAIJU NAZAR</t>
  </si>
  <si>
    <t>SANTHANA PANDI</t>
  </si>
  <si>
    <t>AJO DAVIS</t>
  </si>
  <si>
    <t>TSR253075</t>
  </si>
  <si>
    <t>New CNIA / CICPA Application</t>
  </si>
  <si>
    <t>Personal Information</t>
  </si>
  <si>
    <t>TSR253077</t>
  </si>
  <si>
    <t>CNIA/CICPA Cancellation Application</t>
  </si>
  <si>
    <t>Life Medical Equipment - LLC</t>
  </si>
  <si>
    <t>SHERIF HASSAN</t>
  </si>
  <si>
    <t>SR253065</t>
  </si>
  <si>
    <t>file opening</t>
  </si>
  <si>
    <t>Global Resources Management Employment Services - LLC - Dubai Branch</t>
  </si>
  <si>
    <t>KHURRAM SHAHZAD NASIR</t>
  </si>
  <si>
    <t>SR253028</t>
  </si>
  <si>
    <t>Entry Permit Application</t>
  </si>
  <si>
    <t>Noqodi</t>
  </si>
  <si>
    <t>MOL Insurance</t>
  </si>
  <si>
    <t>ADCB - 7714</t>
  </si>
  <si>
    <t>Amandeep Singh</t>
  </si>
  <si>
    <t>SR253074</t>
  </si>
  <si>
    <t>Labor cancellation Application</t>
  </si>
  <si>
    <t>Emigration Cancellation Paper</t>
  </si>
  <si>
    <t>entry permit application 3 request</t>
  </si>
  <si>
    <t>Najaf Card</t>
  </si>
  <si>
    <t>Fatima Sherif</t>
  </si>
  <si>
    <t>PR</t>
  </si>
  <si>
    <t>Int 30215</t>
  </si>
  <si>
    <t>Nasif - Venture - MOL Insurance</t>
  </si>
  <si>
    <t>Hot Hed Middle East Oil Field Supplies LLC</t>
  </si>
  <si>
    <t>RONALD CALAQUI</t>
  </si>
  <si>
    <t>TSR253067</t>
  </si>
  <si>
    <t>Mission Work Permit visa Cancellation application</t>
  </si>
  <si>
    <t>TSR253068</t>
  </si>
  <si>
    <t>Mission Work Permit Application</t>
  </si>
  <si>
    <t>Sara Ali</t>
  </si>
  <si>
    <t>Alya Sherif</t>
  </si>
  <si>
    <t>Unemployment Insurance</t>
  </si>
  <si>
    <t>Sihabudeen Valappinakam Nalakath</t>
  </si>
  <si>
    <t>Work Permit Payment</t>
  </si>
  <si>
    <t>Penbridge Marine</t>
  </si>
  <si>
    <t>FRACOIS PAUL JEAN</t>
  </si>
  <si>
    <t>TSR253030</t>
  </si>
  <si>
    <t>Pre Approval Work Permit Submission</t>
  </si>
  <si>
    <t>Labor Cancellation Submission</t>
  </si>
  <si>
    <t>V D R AL YASEAH MARINE EQUIPMENT - L.L.C</t>
  </si>
  <si>
    <t>Ferdi Victor van Dort</t>
  </si>
  <si>
    <t>TSR252973</t>
  </si>
  <si>
    <t>Enermech UAE L.L.C</t>
  </si>
  <si>
    <t>Brian Howarth</t>
  </si>
  <si>
    <t>SR252901</t>
  </si>
  <si>
    <t>unemployment insurance fine</t>
  </si>
  <si>
    <t>HR</t>
  </si>
  <si>
    <t>Muhamed Anees Kunnath</t>
  </si>
  <si>
    <t>Int 30182</t>
  </si>
  <si>
    <t>Shafeeq -Golden Visa Work Permit Application Submission</t>
  </si>
  <si>
    <t>Int 30071</t>
  </si>
  <si>
    <t>NASIF ALAMIN-WORK PERMIT SUBMISSION</t>
  </si>
  <si>
    <t>Int 30070</t>
  </si>
  <si>
    <t>Shafeeq -Golden Visa Work Permit Application</t>
  </si>
  <si>
    <t>NRG Marine General Trading LLC</t>
  </si>
  <si>
    <t>ALEXANDER ANTHONY JONES</t>
  </si>
  <si>
    <t>SR253076</t>
  </si>
  <si>
    <t>MOBILE NUMBER UPDATE -EMIGRATION</t>
  </si>
  <si>
    <t>Rigfit Middle East Ship Maintenance L.L.C</t>
  </si>
  <si>
    <t>Haleel M</t>
  </si>
  <si>
    <t>Shamsa Alqubaisi</t>
  </si>
  <si>
    <t>TSR253084</t>
  </si>
  <si>
    <t>SR252938</t>
  </si>
  <si>
    <t>Emirates ID card Renewal Application</t>
  </si>
  <si>
    <t>Visa Renewal application</t>
  </si>
  <si>
    <t>Total</t>
  </si>
  <si>
    <t>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</si>
</sst>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3" fillId="0" borderId="1" xfId="0" applyFont="1" applyBorder="1"/>
    <xf numFmtId="0" fontId="0" fillId="0" borderId="1" xfId="0" applyFill="1" applyBorder="1"/>
    <xf numFmtId="2" fontId="0" fillId="0" borderId="1" xfId="0" applyNumberFormat="1" applyFill="1" applyBorder="1"/>
    <xf numFmtId="0" fontId="2" fillId="0" borderId="1" xfId="0" applyFont="1" applyFill="1" applyBorder="1"/>
    <xf numFmtId="2" fontId="1" fillId="0" borderId="1" xfId="0" applyNumberFormat="1" applyFont="1" applyBorder="1"/>
    <xf numFmtId="0" fontId="4" fillId="0" borderId="1" xfId="0" applyFont="1" applyBorder="1"/>
    <xf numFmtId="2" fontId="2" fillId="0" borderId="1" xfId="0" applyNumberFormat="1" applyFont="1" applyBorder="1"/>
    <xf numFmtId="0" fontId="1" fillId="0" borderId="1" xfId="0" applyFont="1" applyFill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1DB2-971A-4BEB-97E5-7D4A09DD3F8B}">
  <dimension ref="A1:H43"/>
  <sheetViews>
    <sheetView tabSelected="1" workbookViewId="0">
      <selection activeCell="G44" sqref="G44"/>
    </sheetView>
  </sheetViews>
  <sheetFormatPr defaultRowHeight="15"/>
  <cols>
    <col min="1" max="1" width="67.28515625" bestFit="1" customWidth="1"/>
    <col min="2" max="2" width="33.5703125" bestFit="1" customWidth="1"/>
    <col min="3" max="3" width="50.7109375" bestFit="1" customWidth="1"/>
    <col min="4" max="4" width="10.140625" bestFit="1" customWidth="1"/>
    <col min="5" max="5" width="54.140625" bestFit="1" customWidth="1"/>
    <col min="6" max="6" width="11.425781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90</v>
      </c>
    </row>
    <row r="2" spans="1:8">
      <c r="A2" s="1" t="s">
        <v>7</v>
      </c>
      <c r="B2" s="1" t="s">
        <v>8</v>
      </c>
      <c r="C2" s="5" t="s">
        <v>9</v>
      </c>
      <c r="D2" s="1" t="s">
        <v>10</v>
      </c>
      <c r="E2" s="1" t="s">
        <v>11</v>
      </c>
      <c r="F2" s="4"/>
      <c r="G2" s="1"/>
      <c r="H2" s="3">
        <v>15</v>
      </c>
    </row>
    <row r="3" spans="1:8">
      <c r="A3" s="1" t="s">
        <v>7</v>
      </c>
      <c r="B3" s="1" t="s">
        <v>8</v>
      </c>
      <c r="C3" s="5" t="s">
        <v>12</v>
      </c>
      <c r="D3" s="1" t="s">
        <v>13</v>
      </c>
      <c r="E3" s="1" t="s">
        <v>11</v>
      </c>
      <c r="F3" s="4"/>
      <c r="G3" s="1"/>
      <c r="H3" s="3">
        <v>15</v>
      </c>
    </row>
    <row r="4" spans="1:8">
      <c r="A4" s="1" t="s">
        <v>14</v>
      </c>
      <c r="B4" s="1" t="s">
        <v>8</v>
      </c>
      <c r="C4" s="5" t="s">
        <v>15</v>
      </c>
      <c r="D4" s="1" t="s">
        <v>16</v>
      </c>
      <c r="E4" s="1" t="s">
        <v>11</v>
      </c>
      <c r="F4" s="4"/>
      <c r="G4" s="1"/>
      <c r="H4" s="3">
        <v>15</v>
      </c>
    </row>
    <row r="5" spans="1:8">
      <c r="A5" s="1" t="s">
        <v>14</v>
      </c>
      <c r="B5" s="1" t="s">
        <v>8</v>
      </c>
      <c r="C5" s="5" t="s">
        <v>17</v>
      </c>
      <c r="D5" s="1" t="s">
        <v>16</v>
      </c>
      <c r="E5" s="1" t="s">
        <v>11</v>
      </c>
      <c r="F5" s="4"/>
      <c r="G5" s="1"/>
      <c r="H5" s="3">
        <v>15</v>
      </c>
    </row>
    <row r="6" spans="1:8">
      <c r="A6" s="1" t="s">
        <v>14</v>
      </c>
      <c r="B6" s="1" t="s">
        <v>8</v>
      </c>
      <c r="C6" s="5" t="s">
        <v>18</v>
      </c>
      <c r="D6" s="1" t="s">
        <v>16</v>
      </c>
      <c r="E6" s="1" t="s">
        <v>11</v>
      </c>
      <c r="F6" s="4"/>
      <c r="G6" s="1"/>
      <c r="H6" s="3">
        <v>15</v>
      </c>
    </row>
    <row r="7" spans="1:8">
      <c r="A7" s="1" t="s">
        <v>14</v>
      </c>
      <c r="B7" s="1" t="s">
        <v>8</v>
      </c>
      <c r="C7" s="5" t="s">
        <v>19</v>
      </c>
      <c r="D7" s="1" t="s">
        <v>16</v>
      </c>
      <c r="E7" s="1" t="s">
        <v>11</v>
      </c>
      <c r="F7" s="4"/>
      <c r="G7" s="1"/>
      <c r="H7" s="3">
        <v>15</v>
      </c>
    </row>
    <row r="8" spans="1:8">
      <c r="A8" s="1" t="s">
        <v>14</v>
      </c>
      <c r="B8" s="1" t="s">
        <v>8</v>
      </c>
      <c r="C8" s="5" t="s">
        <v>20</v>
      </c>
      <c r="D8" s="1" t="s">
        <v>21</v>
      </c>
      <c r="E8" s="1" t="s">
        <v>22</v>
      </c>
      <c r="F8" s="4"/>
      <c r="G8" s="1"/>
      <c r="H8" s="3">
        <v>15</v>
      </c>
    </row>
    <row r="9" spans="1:8">
      <c r="A9" s="1" t="s">
        <v>14</v>
      </c>
      <c r="B9" s="1" t="s">
        <v>8</v>
      </c>
      <c r="C9" s="5" t="s">
        <v>20</v>
      </c>
      <c r="D9" s="1" t="s">
        <v>21</v>
      </c>
      <c r="E9" s="1" t="s">
        <v>23</v>
      </c>
      <c r="F9" s="4"/>
      <c r="G9" s="1"/>
      <c r="H9" s="3">
        <v>10</v>
      </c>
    </row>
    <row r="10" spans="1:8">
      <c r="A10" s="1" t="s">
        <v>14</v>
      </c>
      <c r="B10" s="1" t="s">
        <v>8</v>
      </c>
      <c r="C10" s="5" t="s">
        <v>20</v>
      </c>
      <c r="D10" s="1" t="s">
        <v>24</v>
      </c>
      <c r="E10" s="1" t="s">
        <v>25</v>
      </c>
      <c r="F10" s="4"/>
      <c r="G10" s="1"/>
      <c r="H10" s="3">
        <v>15</v>
      </c>
    </row>
    <row r="11" spans="1:8">
      <c r="A11" s="1" t="s">
        <v>26</v>
      </c>
      <c r="B11" s="1" t="s">
        <v>8</v>
      </c>
      <c r="C11" s="5" t="s">
        <v>27</v>
      </c>
      <c r="D11" s="1" t="s">
        <v>28</v>
      </c>
      <c r="E11" s="1" t="s">
        <v>29</v>
      </c>
      <c r="F11" s="4" t="s">
        <v>42</v>
      </c>
      <c r="G11" s="3">
        <v>356.2</v>
      </c>
      <c r="H11" s="6">
        <v>30</v>
      </c>
    </row>
    <row r="12" spans="1:8">
      <c r="A12" s="1" t="s">
        <v>30</v>
      </c>
      <c r="B12" s="1" t="s">
        <v>8</v>
      </c>
      <c r="C12" s="5" t="s">
        <v>31</v>
      </c>
      <c r="D12" s="1" t="s">
        <v>32</v>
      </c>
      <c r="E12" s="1" t="s">
        <v>33</v>
      </c>
      <c r="F12" s="4" t="s">
        <v>34</v>
      </c>
      <c r="G12" s="3">
        <v>1025.6500000000001</v>
      </c>
      <c r="H12" s="6">
        <v>30</v>
      </c>
    </row>
    <row r="13" spans="1:8">
      <c r="A13" s="1" t="s">
        <v>30</v>
      </c>
      <c r="B13" s="1" t="s">
        <v>8</v>
      </c>
      <c r="C13" s="7" t="s">
        <v>31</v>
      </c>
      <c r="D13" s="1" t="s">
        <v>32</v>
      </c>
      <c r="E13" s="1" t="s">
        <v>35</v>
      </c>
      <c r="F13" s="1" t="s">
        <v>36</v>
      </c>
      <c r="G13" s="3">
        <v>189</v>
      </c>
      <c r="H13" s="6">
        <v>11</v>
      </c>
    </row>
    <row r="14" spans="1:8">
      <c r="A14" s="1" t="s">
        <v>30</v>
      </c>
      <c r="B14" s="1" t="s">
        <v>8</v>
      </c>
      <c r="C14" s="5" t="s">
        <v>37</v>
      </c>
      <c r="D14" s="1" t="s">
        <v>38</v>
      </c>
      <c r="E14" s="1" t="s">
        <v>39</v>
      </c>
      <c r="F14" s="4"/>
      <c r="G14" s="3"/>
      <c r="H14" s="6">
        <v>35</v>
      </c>
    </row>
    <row r="15" spans="1:8">
      <c r="A15" s="1" t="s">
        <v>30</v>
      </c>
      <c r="B15" s="1" t="s">
        <v>8</v>
      </c>
      <c r="C15" s="5" t="s">
        <v>37</v>
      </c>
      <c r="D15" s="1" t="s">
        <v>38</v>
      </c>
      <c r="E15" s="1" t="s">
        <v>40</v>
      </c>
      <c r="F15" s="4" t="s">
        <v>34</v>
      </c>
      <c r="G15" s="3">
        <v>125.65</v>
      </c>
      <c r="H15" s="6">
        <v>30</v>
      </c>
    </row>
    <row r="16" spans="1:8">
      <c r="A16" s="1" t="s">
        <v>26</v>
      </c>
      <c r="B16" s="1" t="s">
        <v>8</v>
      </c>
      <c r="C16" s="5" t="s">
        <v>43</v>
      </c>
      <c r="D16" s="1" t="s">
        <v>28</v>
      </c>
      <c r="E16" s="1" t="s">
        <v>41</v>
      </c>
      <c r="F16" s="4" t="s">
        <v>42</v>
      </c>
      <c r="G16" s="3">
        <v>356.2</v>
      </c>
      <c r="H16" s="6">
        <v>30</v>
      </c>
    </row>
    <row r="17" spans="1:8">
      <c r="A17" s="1" t="s">
        <v>26</v>
      </c>
      <c r="B17" s="1" t="s">
        <v>8</v>
      </c>
      <c r="C17" s="5" t="s">
        <v>53</v>
      </c>
      <c r="D17" s="1" t="s">
        <v>28</v>
      </c>
      <c r="E17" s="1" t="s">
        <v>41</v>
      </c>
      <c r="F17" s="4" t="s">
        <v>42</v>
      </c>
      <c r="G17" s="6">
        <v>356.2</v>
      </c>
      <c r="H17" s="6">
        <v>30</v>
      </c>
    </row>
    <row r="18" spans="1:8">
      <c r="A18" s="1" t="s">
        <v>26</v>
      </c>
      <c r="B18" s="1" t="s">
        <v>8</v>
      </c>
      <c r="C18" s="5" t="s">
        <v>54</v>
      </c>
      <c r="D18" s="1" t="s">
        <v>28</v>
      </c>
      <c r="E18" s="1" t="s">
        <v>41</v>
      </c>
      <c r="F18" s="4" t="s">
        <v>42</v>
      </c>
      <c r="G18" s="6">
        <v>356.2</v>
      </c>
      <c r="H18" s="6">
        <v>30</v>
      </c>
    </row>
    <row r="19" spans="1:8">
      <c r="A19" s="1" t="s">
        <v>44</v>
      </c>
      <c r="B19" s="1" t="s">
        <v>8</v>
      </c>
      <c r="C19" s="5"/>
      <c r="D19" s="1" t="s">
        <v>45</v>
      </c>
      <c r="E19" s="1" t="s">
        <v>46</v>
      </c>
      <c r="F19" s="1" t="s">
        <v>36</v>
      </c>
      <c r="G19" s="6">
        <v>144.38</v>
      </c>
      <c r="H19" s="6">
        <v>11</v>
      </c>
    </row>
    <row r="20" spans="1:8">
      <c r="A20" s="1" t="s">
        <v>47</v>
      </c>
      <c r="B20" s="1" t="s">
        <v>8</v>
      </c>
      <c r="C20" s="5" t="s">
        <v>48</v>
      </c>
      <c r="D20" s="1" t="s">
        <v>49</v>
      </c>
      <c r="E20" s="1" t="s">
        <v>50</v>
      </c>
      <c r="F20" s="4"/>
      <c r="G20" s="3"/>
      <c r="H20" s="6">
        <v>35</v>
      </c>
    </row>
    <row r="21" spans="1:8">
      <c r="A21" s="1" t="s">
        <v>47</v>
      </c>
      <c r="B21" s="1" t="s">
        <v>8</v>
      </c>
      <c r="C21" s="5" t="s">
        <v>48</v>
      </c>
      <c r="D21" s="1" t="s">
        <v>51</v>
      </c>
      <c r="E21" s="1" t="s">
        <v>52</v>
      </c>
      <c r="F21" s="1" t="s">
        <v>36</v>
      </c>
      <c r="G21" s="6">
        <v>50.36</v>
      </c>
      <c r="H21" s="6">
        <v>35</v>
      </c>
    </row>
    <row r="22" spans="1:8">
      <c r="A22" s="1" t="s">
        <v>30</v>
      </c>
      <c r="B22" s="1" t="s">
        <v>56</v>
      </c>
      <c r="C22" s="1" t="s">
        <v>31</v>
      </c>
      <c r="D22" s="1" t="s">
        <v>32</v>
      </c>
      <c r="E22" s="1" t="s">
        <v>57</v>
      </c>
      <c r="F22" s="1" t="s">
        <v>36</v>
      </c>
      <c r="G22" s="3">
        <v>1208.57</v>
      </c>
      <c r="H22" s="6">
        <v>35</v>
      </c>
    </row>
    <row r="23" spans="1:8">
      <c r="A23" s="1" t="s">
        <v>58</v>
      </c>
      <c r="B23" s="1" t="s">
        <v>56</v>
      </c>
      <c r="C23" s="1" t="s">
        <v>59</v>
      </c>
      <c r="D23" s="1" t="s">
        <v>60</v>
      </c>
      <c r="E23" s="1" t="s">
        <v>61</v>
      </c>
      <c r="F23" s="1" t="s">
        <v>36</v>
      </c>
      <c r="G23" s="3">
        <v>251.79</v>
      </c>
      <c r="H23" s="6">
        <v>35</v>
      </c>
    </row>
    <row r="24" spans="1:8">
      <c r="A24" s="1" t="s">
        <v>58</v>
      </c>
      <c r="B24" s="1" t="s">
        <v>56</v>
      </c>
      <c r="C24" s="1" t="s">
        <v>59</v>
      </c>
      <c r="D24" s="1" t="s">
        <v>60</v>
      </c>
      <c r="E24" s="1" t="s">
        <v>35</v>
      </c>
      <c r="F24" s="1" t="s">
        <v>36</v>
      </c>
      <c r="G24" s="3">
        <v>189</v>
      </c>
      <c r="H24" s="6">
        <v>11</v>
      </c>
    </row>
    <row r="25" spans="1:8">
      <c r="A25" s="1" t="s">
        <v>30</v>
      </c>
      <c r="B25" s="1" t="s">
        <v>56</v>
      </c>
      <c r="C25" s="1" t="s">
        <v>37</v>
      </c>
      <c r="D25" s="1" t="s">
        <v>38</v>
      </c>
      <c r="E25" s="1" t="s">
        <v>62</v>
      </c>
      <c r="F25" s="4"/>
      <c r="G25" s="3"/>
      <c r="H25" s="6">
        <v>35</v>
      </c>
    </row>
    <row r="26" spans="1:8">
      <c r="A26" s="1" t="s">
        <v>63</v>
      </c>
      <c r="B26" s="1" t="s">
        <v>56</v>
      </c>
      <c r="C26" s="1" t="s">
        <v>64</v>
      </c>
      <c r="D26" s="1" t="s">
        <v>65</v>
      </c>
      <c r="E26" s="1" t="s">
        <v>35</v>
      </c>
      <c r="F26" s="1" t="s">
        <v>36</v>
      </c>
      <c r="G26" s="3">
        <v>189</v>
      </c>
      <c r="H26" s="6">
        <v>11</v>
      </c>
    </row>
    <row r="27" spans="1:8">
      <c r="A27" s="1" t="s">
        <v>63</v>
      </c>
      <c r="B27" s="1" t="s">
        <v>56</v>
      </c>
      <c r="C27" s="1" t="s">
        <v>64</v>
      </c>
      <c r="D27" s="1" t="s">
        <v>65</v>
      </c>
      <c r="E27" s="1" t="s">
        <v>57</v>
      </c>
      <c r="F27" s="1" t="s">
        <v>36</v>
      </c>
      <c r="G27" s="3">
        <v>1208.57</v>
      </c>
      <c r="H27" s="6">
        <v>35</v>
      </c>
    </row>
    <row r="28" spans="1:8">
      <c r="A28" s="1" t="s">
        <v>58</v>
      </c>
      <c r="B28" s="1" t="s">
        <v>56</v>
      </c>
      <c r="C28" s="1" t="s">
        <v>59</v>
      </c>
      <c r="D28" s="1" t="s">
        <v>60</v>
      </c>
      <c r="E28" s="1" t="s">
        <v>33</v>
      </c>
      <c r="F28" s="1" t="s">
        <v>36</v>
      </c>
      <c r="G28" s="3">
        <v>665.36</v>
      </c>
      <c r="H28" s="6">
        <v>30</v>
      </c>
    </row>
    <row r="29" spans="1:8">
      <c r="A29" s="1" t="s">
        <v>66</v>
      </c>
      <c r="B29" s="1" t="s">
        <v>56</v>
      </c>
      <c r="C29" s="1" t="s">
        <v>67</v>
      </c>
      <c r="D29" s="1" t="s">
        <v>68</v>
      </c>
      <c r="E29" s="1" t="s">
        <v>69</v>
      </c>
      <c r="F29" s="4" t="s">
        <v>42</v>
      </c>
      <c r="G29" s="3">
        <v>402.86</v>
      </c>
      <c r="H29" s="6">
        <v>35</v>
      </c>
    </row>
    <row r="30" spans="1:8">
      <c r="A30" s="1" t="s">
        <v>70</v>
      </c>
      <c r="B30" s="1" t="s">
        <v>71</v>
      </c>
      <c r="C30" s="1"/>
      <c r="D30" s="1" t="s">
        <v>72</v>
      </c>
      <c r="E30" s="1" t="s">
        <v>73</v>
      </c>
      <c r="F30" s="4"/>
      <c r="G30" s="10"/>
      <c r="H30" s="6">
        <v>25</v>
      </c>
    </row>
    <row r="31" spans="1:8">
      <c r="A31" s="1" t="s">
        <v>70</v>
      </c>
      <c r="B31" s="1" t="s">
        <v>71</v>
      </c>
      <c r="C31" s="1"/>
      <c r="D31" s="1" t="s">
        <v>74</v>
      </c>
      <c r="E31" s="1" t="s">
        <v>75</v>
      </c>
      <c r="F31" s="1" t="s">
        <v>36</v>
      </c>
      <c r="G31" s="3">
        <v>3474.63</v>
      </c>
      <c r="H31" s="6">
        <v>35</v>
      </c>
    </row>
    <row r="32" spans="1:8">
      <c r="A32" s="1" t="s">
        <v>70</v>
      </c>
      <c r="B32" s="1" t="s">
        <v>71</v>
      </c>
      <c r="C32" s="1"/>
      <c r="D32" s="1" t="s">
        <v>76</v>
      </c>
      <c r="E32" s="1" t="s">
        <v>77</v>
      </c>
      <c r="F32" s="1" t="s">
        <v>36</v>
      </c>
      <c r="G32" s="3">
        <v>50.36</v>
      </c>
      <c r="H32" s="6">
        <v>35</v>
      </c>
    </row>
    <row r="33" spans="1:8">
      <c r="A33" s="1" t="s">
        <v>78</v>
      </c>
      <c r="B33" s="1" t="s">
        <v>71</v>
      </c>
      <c r="C33" s="1" t="s">
        <v>79</v>
      </c>
      <c r="D33" s="1" t="s">
        <v>80</v>
      </c>
      <c r="E33" s="1" t="s">
        <v>81</v>
      </c>
      <c r="F33" s="1" t="s">
        <v>36</v>
      </c>
      <c r="G33" s="3">
        <v>153.47</v>
      </c>
      <c r="H33" s="6">
        <v>30</v>
      </c>
    </row>
    <row r="34" spans="1:8">
      <c r="A34" s="1" t="s">
        <v>82</v>
      </c>
      <c r="B34" s="1" t="s">
        <v>83</v>
      </c>
      <c r="C34" s="1" t="s">
        <v>84</v>
      </c>
      <c r="D34" s="1" t="s">
        <v>85</v>
      </c>
      <c r="E34" s="1" t="s">
        <v>55</v>
      </c>
      <c r="F34" s="1" t="s">
        <v>36</v>
      </c>
      <c r="G34" s="3">
        <v>63</v>
      </c>
      <c r="H34" s="6">
        <v>10</v>
      </c>
    </row>
    <row r="35" spans="1:8">
      <c r="A35" s="1" t="s">
        <v>7</v>
      </c>
      <c r="B35" s="1" t="s">
        <v>83</v>
      </c>
      <c r="C35" s="1" t="s">
        <v>12</v>
      </c>
      <c r="D35" s="1" t="s">
        <v>86</v>
      </c>
      <c r="E35" s="1" t="s">
        <v>87</v>
      </c>
      <c r="F35" s="1" t="s">
        <v>36</v>
      </c>
      <c r="G35" s="3">
        <v>304.10000000000002</v>
      </c>
      <c r="H35" s="6">
        <v>21.72</v>
      </c>
    </row>
    <row r="36" spans="1:8">
      <c r="A36" s="1" t="s">
        <v>7</v>
      </c>
      <c r="B36" s="1" t="s">
        <v>83</v>
      </c>
      <c r="C36" s="1" t="s">
        <v>12</v>
      </c>
      <c r="D36" s="1" t="s">
        <v>86</v>
      </c>
      <c r="E36" s="1" t="s">
        <v>88</v>
      </c>
      <c r="F36" s="1" t="s">
        <v>36</v>
      </c>
      <c r="G36" s="3">
        <v>457.56</v>
      </c>
      <c r="H36" s="6">
        <v>30</v>
      </c>
    </row>
    <row r="38" spans="1:8">
      <c r="F38" s="2" t="s">
        <v>89</v>
      </c>
      <c r="G38" s="2">
        <f>SUM(G2:G36)</f>
        <v>11578.109999999999</v>
      </c>
      <c r="H38" s="2">
        <f>SUM(H2:H36)</f>
        <v>850.72</v>
      </c>
    </row>
    <row r="39" spans="1:8">
      <c r="G39" s="12">
        <f>SUM(G38:H38)</f>
        <v>12428.829999999998</v>
      </c>
      <c r="H39" s="12"/>
    </row>
    <row r="41" spans="1:8">
      <c r="F41" s="9" t="s">
        <v>42</v>
      </c>
      <c r="G41" s="8">
        <f>SUM(G29,G16:G18,G11)</f>
        <v>1827.66</v>
      </c>
    </row>
    <row r="42" spans="1:8">
      <c r="F42" s="9" t="s">
        <v>34</v>
      </c>
      <c r="G42" s="8">
        <f>SUM(G15,G12)</f>
        <v>1151.3000000000002</v>
      </c>
    </row>
    <row r="43" spans="1:8">
      <c r="F43" s="2" t="s">
        <v>36</v>
      </c>
      <c r="G43" s="8">
        <f>SUM(G31:G36,G19:G28,G13)</f>
        <v>8599.15</v>
      </c>
    </row>
  </sheetData>
  <mergeCells count="1">
    <mergeCell ref="G39:H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2025-01-02T09:56:56Z</dcterms:created>
  <dcterms:modified xsi:type="dcterms:W3CDTF">2025-04-12T05:32:36Z</dcterms:modified>
</cp:coreProperties>
</file>